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60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Neues Investment" sheetId="2" state="visible" r:id="rId2"/>
    <sheet xmlns:r="http://schemas.openxmlformats.org/officeDocument/2006/relationships" name="Anleitung" sheetId="3" state="visible" r:id="rId3"/>
  </sheets>
  <definedNames>
    <definedName name="_xlnm.Print_Titles" localSheetId="0">'Cap Table'!$14:$15</definedName>
    <definedName name="_xlnm.Print_Area" localSheetId="0">'Cap Table'!$A$1:$Q$63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&quot; €&quot;"/>
    <numFmt numFmtId="166" formatCode="0.0%"/>
  </numFmts>
  <fonts count="19">
    <font>
      <name val="Calibri"/>
      <family val="2"/>
      <color theme="1"/>
      <sz val="11"/>
      <scheme val="minor"/>
    </font>
    <font>
      <name val="Calibri"/>
      <family val="2"/>
      <color rgb="FF0000FF"/>
      <sz val="11"/>
    </font>
    <font>
      <name val="Calibri"/>
      <family val="2"/>
      <b val="1"/>
      <color rgb="FF000000"/>
      <sz val="9"/>
    </font>
    <font>
      <name val="Calibri"/>
      <family val="2"/>
      <b val="1"/>
      <sz val="11"/>
    </font>
    <font>
      <name val="Calibri"/>
      <family val="2"/>
      <i val="1"/>
      <color rgb="FFC00000"/>
      <sz val="8"/>
    </font>
    <font>
      <name val="Calibri"/>
      <family val="2"/>
      <b val="1"/>
      <sz val="14"/>
    </font>
    <font>
      <name val="Calibri"/>
      <family val="2"/>
      <i val="1"/>
      <sz val="10"/>
    </font>
    <font>
      <name val="Calibri"/>
      <family val="2"/>
      <i val="1"/>
      <color rgb="FF808080"/>
      <sz val="9"/>
    </font>
    <font>
      <name val="Calibri"/>
      <family val="2"/>
      <b val="1"/>
      <sz val="11"/>
    </font>
    <font>
      <name val="Calibri"/>
      <family val="2"/>
      <color theme="1"/>
      <sz val="10"/>
    </font>
    <font>
      <name val="Calibri"/>
      <family val="2"/>
      <color rgb="FF0000FF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000000"/>
      <sz val="10"/>
    </font>
    <font>
      <name val="Calibri"/>
      <family val="2"/>
      <i val="1"/>
      <color rgb="FF808080"/>
      <sz val="10"/>
    </font>
    <font>
      <name val="Calibri"/>
      <family val="2"/>
      <i val="1"/>
      <color rgb="FFC00000"/>
      <sz val="10"/>
    </font>
    <font>
      <name val="Calibri"/>
      <family val="2"/>
      <i val="1"/>
      <color rgb="FF0000FF"/>
      <sz val="10"/>
    </font>
    <font>
      <name val="Calibri"/>
      <family val="2"/>
      <b val="1"/>
      <color theme="1"/>
      <sz val="11"/>
    </font>
    <font>
      <name val="Calibri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2"/>
  </cellStyleXfs>
  <cellXfs count="60">
    <xf numFmtId="0" fontId="0" fillId="0" borderId="0" pivotButton="0" quotePrefix="0" xfId="0"/>
    <xf numFmtId="4" fontId="1" fillId="0" borderId="0" pivotButton="0" quotePrefix="0" xfId="0"/>
    <xf numFmtId="3" fontId="0" fillId="0" borderId="1" pivotButton="0" quotePrefix="0" xfId="0"/>
    <xf numFmtId="0" fontId="0" fillId="0" borderId="2" pivotButton="0" quotePrefix="0" xfId="0"/>
    <xf numFmtId="0" fontId="2" fillId="2" borderId="2" applyAlignment="1" pivotButton="0" quotePrefix="0" xfId="0">
      <alignment horizontal="center" wrapText="1"/>
    </xf>
    <xf numFmtId="4" fontId="0" fillId="0" borderId="2" pivotButton="0" quotePrefix="0" xfId="0"/>
    <xf numFmtId="4" fontId="3" fillId="0" borderId="2" pivotButton="0" quotePrefix="0" xfId="0"/>
    <xf numFmtId="0" fontId="4" fillId="0" borderId="0" pivotButton="0" quotePrefix="0" xfId="0"/>
    <xf numFmtId="1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9" fontId="10" fillId="0" borderId="0" pivotButton="0" quotePrefix="0" xfId="0"/>
    <xf numFmtId="164" fontId="11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3" fontId="10" fillId="0" borderId="1" pivotButton="0" quotePrefix="0" xfId="0"/>
    <xf numFmtId="10" fontId="9" fillId="0" borderId="1" pivotButton="0" quotePrefix="0" xfId="0"/>
    <xf numFmtId="164" fontId="9" fillId="0" borderId="1" pivotButton="0" quotePrefix="0" xfId="0"/>
    <xf numFmtId="3" fontId="9" fillId="0" borderId="1" pivotButton="0" quotePrefix="0" xfId="0"/>
    <xf numFmtId="164" fontId="10" fillId="0" borderId="1" pivotButton="0" quotePrefix="0" xfId="0"/>
    <xf numFmtId="0" fontId="14" fillId="0" borderId="1" pivotButton="0" quotePrefix="0" xfId="0"/>
    <xf numFmtId="164" fontId="15" fillId="0" borderId="1" pivotButton="0" quotePrefix="0" xfId="0"/>
    <xf numFmtId="0" fontId="12" fillId="3" borderId="1" pivotButton="0" quotePrefix="0" xfId="0"/>
    <xf numFmtId="3" fontId="12" fillId="3" borderId="1" pivotButton="0" quotePrefix="0" xfId="0"/>
    <xf numFmtId="10" fontId="12" fillId="3" borderId="1" pivotButton="0" quotePrefix="0" xfId="0"/>
    <xf numFmtId="164" fontId="12" fillId="3" borderId="1" pivotButton="0" quotePrefix="0" xfId="0"/>
    <xf numFmtId="0" fontId="8" fillId="0" borderId="2" pivotButton="0" quotePrefix="0" xfId="0"/>
    <xf numFmtId="0" fontId="12" fillId="2" borderId="1" applyAlignment="1" pivotButton="0" quotePrefix="0" xfId="0">
      <alignment horizontal="center" wrapText="1"/>
    </xf>
    <xf numFmtId="164" fontId="16" fillId="0" borderId="1" pivotButton="0" quotePrefix="0" xfId="0"/>
    <xf numFmtId="0" fontId="12" fillId="0" borderId="2" pivotButton="0" quotePrefix="0" xfId="0"/>
    <xf numFmtId="164" fontId="12" fillId="0" borderId="2" pivotButton="0" quotePrefix="0" xfId="0"/>
    <xf numFmtId="0" fontId="17" fillId="0" borderId="0" pivotButton="0" quotePrefix="0" xfId="0"/>
    <xf numFmtId="4" fontId="10" fillId="0" borderId="0" pivotButton="0" quotePrefix="0" xfId="0"/>
    <xf numFmtId="165" fontId="10" fillId="0" borderId="0" pivotButton="0" quotePrefix="0" xfId="0"/>
    <xf numFmtId="0" fontId="12" fillId="2" borderId="0" applyAlignment="1" pivotButton="0" quotePrefix="0" xfId="0">
      <alignment horizontal="center" wrapText="1"/>
    </xf>
    <xf numFmtId="3" fontId="9" fillId="0" borderId="0" pivotButton="0" quotePrefix="0" xfId="0"/>
    <xf numFmtId="166" fontId="9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4" fontId="12" fillId="0" borderId="0" pivotButton="0" quotePrefix="0" xfId="0"/>
    <xf numFmtId="3" fontId="12" fillId="0" borderId="0" pivotButton="0" quotePrefix="0" xfId="0"/>
    <xf numFmtId="0" fontId="12" fillId="2" borderId="4" applyAlignment="1" pivotButton="0" quotePrefix="0" xfId="0">
      <alignment horizontal="center" vertical="center"/>
    </xf>
    <xf numFmtId="0" fontId="0" fillId="0" borderId="3" pivotButton="0" quotePrefix="0" xfId="0"/>
    <xf numFmtId="164" fontId="10" fillId="0" borderId="0" pivotButton="0" quotePrefix="0" xfId="0"/>
    <xf numFmtId="164" fontId="11" fillId="0" borderId="0" pivotButton="0" quotePrefix="0" xfId="0"/>
    <xf numFmtId="0" fontId="0" fillId="0" borderId="4" pivotButton="0" quotePrefix="0" xfId="0"/>
    <xf numFmtId="164" fontId="9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4" fontId="15" fillId="0" borderId="1" pivotButton="0" quotePrefix="0" xfId="0"/>
    <xf numFmtId="164" fontId="12" fillId="3" borderId="1" pivotButton="0" quotePrefix="0" xfId="0"/>
    <xf numFmtId="164" fontId="16" fillId="0" borderId="1" pivotButton="0" quotePrefix="0" xfId="0"/>
    <xf numFmtId="164" fontId="12" fillId="0" borderId="2" pivotButton="0" quotePrefix="0" xfId="0"/>
    <xf numFmtId="166" fontId="9" fillId="0" borderId="0" pivotButton="0" quotePrefix="0" xfId="0"/>
    <xf numFmtId="164" fontId="18" fillId="0" borderId="1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6"/>
  <sheetViews>
    <sheetView tabSelected="1" workbookViewId="0">
      <pane xSplit="1" ySplit="15" topLeftCell="B16" activePane="bottomRight" state="frozen"/>
      <selection pane="topRight" activeCell="A1" sqref="A1"/>
      <selection pane="bottomLeft" activeCell="A1" sqref="A1"/>
      <selection pane="bottomRight" activeCell="K41" sqref="K41"/>
    </sheetView>
  </sheetViews>
  <sheetFormatPr baseColWidth="10" defaultColWidth="8.83203125" defaultRowHeight="15"/>
  <cols>
    <col width="37" customWidth="1" min="1" max="1"/>
    <col width="11" customWidth="1" min="2" max="2"/>
    <col width="14" customWidth="1" min="3" max="3"/>
    <col width="24" customWidth="1" min="4" max="4"/>
    <col width="16" customWidth="1" min="5" max="5"/>
    <col width="14" customWidth="1" min="6" max="6"/>
    <col width="15" customWidth="1" min="7" max="7"/>
    <col width="14" customWidth="1" min="8" max="8"/>
    <col width="12" customWidth="1" min="9" max="9"/>
    <col width="13" customWidth="1" min="10" max="10"/>
    <col width="11" customWidth="1" min="11" max="14"/>
    <col width="13" customWidth="1" min="15" max="17"/>
  </cols>
  <sheetData>
    <row r="1" ht="19" customHeight="1">
      <c r="A1" s="10" t="inlineStr">
        <is>
          <t>Cap Table — MUVN Mobility GmbH</t>
        </is>
      </c>
    </row>
    <row r="2">
      <c r="A2" s="11" t="inlineStr">
        <is>
          <t>HRB 190492, Amtsgericht Hamburg | Stand nach First Closing Seed-Runde (13.07.2026)</t>
        </is>
      </c>
    </row>
    <row r="3">
      <c r="A3" s="12" t="inlineStr">
        <is>
          <t>Struktur nach Heuking-Muster | blaue Werte = Eingabe, übrige = Formeln</t>
        </is>
      </c>
    </row>
    <row r="6">
      <c r="D6" s="13" t="inlineStr">
        <is>
          <t>Seed-Finanzierungsrunde — Annahmen</t>
        </is>
      </c>
    </row>
    <row r="7">
      <c r="D7" s="14" t="inlineStr">
        <is>
          <t>Pre-Money-Bewertung Seed (voll verwässert)</t>
        </is>
      </c>
      <c r="F7" s="48" t="n">
        <v>8000000</v>
      </c>
      <c r="H7" s="12" t="inlineStr">
        <is>
          <t>Term Sheet</t>
        </is>
      </c>
    </row>
    <row r="8">
      <c r="D8" s="14" t="inlineStr">
        <is>
          <t>Preis pro Seed-Geschäftsanteil</t>
        </is>
      </c>
      <c r="F8" s="48" t="n">
        <v>320</v>
      </c>
      <c r="H8" s="12" t="inlineStr">
        <is>
          <t>Term Sheet (fix)</t>
        </is>
      </c>
    </row>
    <row r="9">
      <c r="D9" s="14" t="inlineStr">
        <is>
          <t>Discount auf Wandlung</t>
        </is>
      </c>
      <c r="F9" s="16" t="n">
        <v>0.05</v>
      </c>
      <c r="H9" s="12" t="inlineStr">
        <is>
          <t>Vertragsziffer 5.3</t>
        </is>
      </c>
    </row>
    <row r="10">
      <c r="D10" s="14" t="inlineStr">
        <is>
          <t>Cap-Preis pro Anteil (= Cap 6 Mio / Stammkapital)</t>
        </is>
      </c>
      <c r="F10" s="48" t="n">
        <v>240</v>
      </c>
      <c r="H10" s="12" t="inlineStr">
        <is>
          <t>Vertragsziffer 5.5 — Cap gewinnt gegen Discount-Preis</t>
        </is>
      </c>
    </row>
    <row r="11">
      <c r="D11" s="14" t="inlineStr">
        <is>
          <t>Effektiver Wandlungspreis Seed-Geschäftsanteil</t>
        </is>
      </c>
      <c r="F11" s="49">
        <f>MIN(F10,ROUND(F8*(1-F9),2))</f>
        <v/>
      </c>
      <c r="H11" s="12" t="inlineStr">
        <is>
          <t>MIN(Cap; Discount-Preis) = 240</t>
        </is>
      </c>
    </row>
    <row r="12">
      <c r="D12" s="14" t="inlineStr">
        <is>
          <t>Post-Money-Bewertung Seed</t>
        </is>
      </c>
      <c r="F12" s="49">
        <f>F7+G41</f>
        <v/>
      </c>
      <c r="H12" s="12" t="inlineStr">
        <is>
          <t>Pre-Money + tatsächl. neue Investments</t>
        </is>
      </c>
    </row>
    <row r="14">
      <c r="B14" s="46" t="inlineStr">
        <is>
          <t>Gründung</t>
        </is>
      </c>
      <c r="C14" s="50" t="n"/>
      <c r="D14" s="46" t="inlineStr">
        <is>
          <t>Seed-Finanzierungsrunde</t>
        </is>
      </c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</row>
    <row r="15" ht="58" customHeight="1">
      <c r="A15" s="18" t="inlineStr">
        <is>
          <t>Gesellschafter</t>
        </is>
      </c>
      <c r="B15" s="18" t="inlineStr">
        <is>
          <t># der Geschäftsanteile</t>
        </is>
      </c>
      <c r="C15" s="18" t="inlineStr">
        <is>
          <t>Beteiligung an der Gesellschaft</t>
        </is>
      </c>
      <c r="D15" s="18" t="inlineStr">
        <is>
          <t>Tatsächliche Investments (Wandlung, Zuzahlung &amp; Nominal)</t>
        </is>
      </c>
      <c r="E15" s="18" t="inlineStr">
        <is>
          <t>Wandlungsbeträge</t>
        </is>
      </c>
      <c r="F15" s="18" t="inlineStr">
        <is>
          <t>Gesamtes neues Investment (geplant)</t>
        </is>
      </c>
      <c r="G15" s="18" t="inlineStr">
        <is>
          <t>Gesamtes neues Investment (tatsächlich)</t>
        </is>
      </c>
      <c r="H15" s="18" t="inlineStr">
        <is>
          <t>Zuzahlungen (Aufgeld)</t>
        </is>
      </c>
      <c r="I15" s="18" t="inlineStr">
        <is>
          <t>Nominalbeträge</t>
        </is>
      </c>
      <c r="J15" s="18" t="inlineStr">
        <is>
          <t># der Wandlungs-Seed-Anteile</t>
        </is>
      </c>
      <c r="K15" s="18" t="inlineStr">
        <is>
          <t># der Seed-Anteile</t>
        </is>
      </c>
      <c r="L15" s="18" t="inlineStr">
        <is>
          <t># der Geschäftsanteile</t>
        </is>
      </c>
      <c r="M15" s="18" t="inlineStr">
        <is>
          <t># der neuen virtuellen Anteile</t>
        </is>
      </c>
      <c r="N15" s="18" t="inlineStr">
        <is>
          <t># der virtuellen Anteile</t>
        </is>
      </c>
      <c r="O15" s="18" t="inlineStr">
        <is>
          <t># Geschäftsanteile &amp; virtuelle Anteile</t>
        </is>
      </c>
      <c r="P15" s="18" t="inlineStr">
        <is>
          <t>Beteiligung (nicht verwässert)</t>
        </is>
      </c>
      <c r="Q15" s="18" t="inlineStr">
        <is>
          <t>Beteiligung (voll verwässert)</t>
        </is>
      </c>
    </row>
    <row r="16">
      <c r="A16" s="19" t="inlineStr">
        <is>
          <t>ThirdEye Ventures UG (haftungsbeschränkt)</t>
        </is>
      </c>
      <c r="B16" s="20" t="n">
        <v>8334</v>
      </c>
      <c r="C16" s="21">
        <f>IFERROR(B16/$B$41,0)</f>
        <v/>
      </c>
      <c r="D16" s="51">
        <f>E16+H16+I16</f>
        <v/>
      </c>
      <c r="E16" s="52" t="n"/>
      <c r="F16" s="52" t="n"/>
      <c r="G16" s="51">
        <f>K16*$F$8</f>
        <v/>
      </c>
      <c r="H16" s="51">
        <f>G16-K16</f>
        <v/>
      </c>
      <c r="I16" s="51">
        <f>J16+K16</f>
        <v/>
      </c>
      <c r="J16" s="23">
        <f>IF(E16=0,0,ROUND(E16/($F$11-1),0))</f>
        <v/>
      </c>
      <c r="K16" s="23">
        <f>IF(F16=0,0,ROUND(F16/$F$8,0))</f>
        <v/>
      </c>
      <c r="L16" s="23">
        <f>B16+J16+K16</f>
        <v/>
      </c>
      <c r="M16" s="2" t="n"/>
      <c r="N16" s="23">
        <f>M16</f>
        <v/>
      </c>
      <c r="O16" s="23">
        <f>L16+N16</f>
        <v/>
      </c>
      <c r="P16" s="21">
        <f>IFERROR(L16/$L$41,0)</f>
        <v/>
      </c>
      <c r="Q16" s="21">
        <f>IFERROR(O16/$O$41,0)</f>
        <v/>
      </c>
    </row>
    <row r="17">
      <c r="A17" s="19" t="inlineStr">
        <is>
          <t>Sabatino Capital UG (haftungsbeschränkt)</t>
        </is>
      </c>
      <c r="B17" s="20" t="n">
        <v>8333</v>
      </c>
      <c r="C17" s="21">
        <f>IFERROR(B17/$B$41,0)</f>
        <v/>
      </c>
      <c r="D17" s="51">
        <f>E17+H17+I17</f>
        <v/>
      </c>
      <c r="E17" s="52" t="n"/>
      <c r="F17" s="52" t="n"/>
      <c r="G17" s="51">
        <f>K17*$F$8</f>
        <v/>
      </c>
      <c r="H17" s="51">
        <f>G17-K17</f>
        <v/>
      </c>
      <c r="I17" s="51">
        <f>J17+K17</f>
        <v/>
      </c>
      <c r="J17" s="23">
        <f>IF(E17=0,0,ROUND(E17/($F$11-1),0))</f>
        <v/>
      </c>
      <c r="K17" s="23">
        <f>IF(F17=0,0,ROUND(F17/$F$8,0))</f>
        <v/>
      </c>
      <c r="L17" s="23">
        <f>B17+J17+K17</f>
        <v/>
      </c>
      <c r="M17" s="2" t="n"/>
      <c r="N17" s="23">
        <f>M17</f>
        <v/>
      </c>
      <c r="O17" s="23">
        <f>L17+N17</f>
        <v/>
      </c>
      <c r="P17" s="21">
        <f>IFERROR(L17/$L$41,0)</f>
        <v/>
      </c>
      <c r="Q17" s="21">
        <f>IFERROR(O17/$O$41,0)</f>
        <v/>
      </c>
    </row>
    <row r="18">
      <c r="A18" s="19" t="inlineStr">
        <is>
          <t>FutureViews Capital UG (haftungsbeschränkt)</t>
        </is>
      </c>
      <c r="B18" s="20" t="n">
        <v>8333</v>
      </c>
      <c r="C18" s="21">
        <f>IFERROR(B18/$B$41,0)</f>
        <v/>
      </c>
      <c r="D18" s="51">
        <f>E18+H18+I18</f>
        <v/>
      </c>
      <c r="E18" s="52" t="n"/>
      <c r="F18" s="52" t="n"/>
      <c r="G18" s="51">
        <f>K18*$F$8</f>
        <v/>
      </c>
      <c r="H18" s="51">
        <f>G18-K18</f>
        <v/>
      </c>
      <c r="I18" s="51">
        <f>J18+K18</f>
        <v/>
      </c>
      <c r="J18" s="23">
        <f>IF(E18=0,0,ROUND(E18/($F$11-1),0))</f>
        <v/>
      </c>
      <c r="K18" s="23">
        <f>IF(F18=0,0,ROUND(F18/$F$8,0))</f>
        <v/>
      </c>
      <c r="L18" s="23">
        <f>B18+J18+K18</f>
        <v/>
      </c>
      <c r="M18" s="2" t="n"/>
      <c r="N18" s="23">
        <f>M18</f>
        <v/>
      </c>
      <c r="O18" s="23">
        <f>L18+N18</f>
        <v/>
      </c>
      <c r="P18" s="21">
        <f>IFERROR(L18/$L$41,0)</f>
        <v/>
      </c>
      <c r="Q18" s="21">
        <f>IFERROR(O18/$O$41,0)</f>
        <v/>
      </c>
    </row>
    <row r="19">
      <c r="A19" s="19" t="inlineStr">
        <is>
          <t>Baltic Business Angels Invest GmbH (Damerow)</t>
        </is>
      </c>
      <c r="B19" s="2" t="n"/>
      <c r="C19" s="21">
        <f>IFERROR(B19/$B$41,0)</f>
        <v/>
      </c>
      <c r="D19" s="51">
        <f>E19+H19+I19</f>
        <v/>
      </c>
      <c r="E19" s="51">
        <f>G45</f>
        <v/>
      </c>
      <c r="F19" s="59" t="n">
        <v>200000</v>
      </c>
      <c r="G19" s="51">
        <f>K19*$F$8</f>
        <v/>
      </c>
      <c r="H19" s="51">
        <f>G19-K19</f>
        <v/>
      </c>
      <c r="I19" s="51">
        <f>J19+K19</f>
        <v/>
      </c>
      <c r="J19" s="23">
        <f>IF(E19=0,0,ROUND(E19/($F$11-1),0))</f>
        <v/>
      </c>
      <c r="K19" s="23">
        <f>IF(F19=0,0,ROUND(F19/$F$8,0))</f>
        <v/>
      </c>
      <c r="L19" s="23">
        <f>B19+J19+K19</f>
        <v/>
      </c>
      <c r="M19" s="2" t="n"/>
      <c r="N19" s="23">
        <f>M19</f>
        <v/>
      </c>
      <c r="O19" s="23">
        <f>L19+N19</f>
        <v/>
      </c>
      <c r="P19" s="21">
        <f>IFERROR(L19/$L$41,0)</f>
        <v/>
      </c>
      <c r="Q19" s="21">
        <f>IFERROR(O19/$O$41,0)</f>
        <v/>
      </c>
    </row>
    <row r="20">
      <c r="A20" s="19" t="inlineStr">
        <is>
          <t>Optima Vermögensverwaltungsgesellschaft mbH</t>
        </is>
      </c>
      <c r="B20" s="2" t="n"/>
      <c r="C20" s="21">
        <f>IFERROR(B20/$B$41,0)</f>
        <v/>
      </c>
      <c r="D20" s="51">
        <f>E20+H20+I20</f>
        <v/>
      </c>
      <c r="E20" s="51">
        <f>G46</f>
        <v/>
      </c>
      <c r="F20" s="52" t="n"/>
      <c r="G20" s="51">
        <f>K20*$F$8</f>
        <v/>
      </c>
      <c r="H20" s="51">
        <f>G20-K20</f>
        <v/>
      </c>
      <c r="I20" s="51">
        <f>J20+K20</f>
        <v/>
      </c>
      <c r="J20" s="23">
        <f>IF(E20=0,0,ROUND(E20/($F$11-1),0))</f>
        <v/>
      </c>
      <c r="K20" s="23">
        <f>IF(F20=0,0,ROUND(F20/$F$8,0))</f>
        <v/>
      </c>
      <c r="L20" s="23">
        <f>B20+J20+K20</f>
        <v/>
      </c>
      <c r="M20" s="2" t="n"/>
      <c r="N20" s="23">
        <f>M20</f>
        <v/>
      </c>
      <c r="O20" s="23">
        <f>L20+N20</f>
        <v/>
      </c>
      <c r="P20" s="21">
        <f>IFERROR(L20/$L$41,0)</f>
        <v/>
      </c>
      <c r="Q20" s="21">
        <f>IFERROR(O20/$O$41,0)</f>
        <v/>
      </c>
    </row>
    <row r="21">
      <c r="A21" s="19" t="inlineStr">
        <is>
          <t>Ecoverse Ventures GmbH</t>
        </is>
      </c>
      <c r="B21" s="2" t="n"/>
      <c r="C21" s="21">
        <f>IFERROR(B21/$B$41,0)</f>
        <v/>
      </c>
      <c r="D21" s="51">
        <f>E21+H21+I21</f>
        <v/>
      </c>
      <c r="E21" s="51">
        <f>G47</f>
        <v/>
      </c>
      <c r="F21" s="52" t="n"/>
      <c r="G21" s="51">
        <f>K21*$F$8</f>
        <v/>
      </c>
      <c r="H21" s="51">
        <f>G21-K21</f>
        <v/>
      </c>
      <c r="I21" s="51">
        <f>J21+K21</f>
        <v/>
      </c>
      <c r="J21" s="23">
        <f>IF(E21=0,0,ROUND(E21/($F$11-1),0))</f>
        <v/>
      </c>
      <c r="K21" s="23">
        <f>IF(F21=0,0,ROUND(F21/$F$8,0))</f>
        <v/>
      </c>
      <c r="L21" s="23">
        <f>B21+J21+K21</f>
        <v/>
      </c>
      <c r="M21" s="2" t="n"/>
      <c r="N21" s="23">
        <f>M21</f>
        <v/>
      </c>
      <c r="O21" s="23">
        <f>L21+N21</f>
        <v/>
      </c>
      <c r="P21" s="21">
        <f>IFERROR(L21/$L$41,0)</f>
        <v/>
      </c>
      <c r="Q21" s="21">
        <f>IFERROR(O21/$O$41,0)</f>
        <v/>
      </c>
    </row>
    <row r="22">
      <c r="A22" s="19" t="inlineStr">
        <is>
          <t>ME Digital Marketing GmbH (Martin Esters)</t>
        </is>
      </c>
      <c r="B22" s="2" t="n"/>
      <c r="C22" s="21">
        <f>IFERROR(B22/$B$41,0)</f>
        <v/>
      </c>
      <c r="D22" s="51">
        <f>E22+H22+I22</f>
        <v/>
      </c>
      <c r="E22" s="51">
        <f>G48</f>
        <v/>
      </c>
      <c r="F22" s="52" t="n"/>
      <c r="G22" s="51">
        <f>K22*$F$8</f>
        <v/>
      </c>
      <c r="H22" s="51">
        <f>G22-K22</f>
        <v/>
      </c>
      <c r="I22" s="51">
        <f>J22+K22</f>
        <v/>
      </c>
      <c r="J22" s="23">
        <f>IF(E22=0,0,ROUND(E22/($F$11-1),0))</f>
        <v/>
      </c>
      <c r="K22" s="23">
        <f>IF(F22=0,0,ROUND(F22/$F$8,0))</f>
        <v/>
      </c>
      <c r="L22" s="23">
        <f>B22+J22+K22</f>
        <v/>
      </c>
      <c r="M22" s="2" t="n"/>
      <c r="N22" s="23">
        <f>M22</f>
        <v/>
      </c>
      <c r="O22" s="23">
        <f>L22+N22</f>
        <v/>
      </c>
      <c r="P22" s="21">
        <f>IFERROR(L22/$L$41,0)</f>
        <v/>
      </c>
      <c r="Q22" s="21">
        <f>IFERROR(O22/$O$41,0)</f>
        <v/>
      </c>
    </row>
    <row r="23">
      <c r="A23" s="19" t="inlineStr">
        <is>
          <t>Daniel Beutler</t>
        </is>
      </c>
      <c r="B23" s="2" t="n"/>
      <c r="C23" s="21">
        <f>IFERROR(B23/$B$41,0)</f>
        <v/>
      </c>
      <c r="D23" s="51">
        <f>E23+H23+I23</f>
        <v/>
      </c>
      <c r="E23" s="51">
        <f>G49</f>
        <v/>
      </c>
      <c r="F23" s="52" t="n"/>
      <c r="G23" s="51">
        <f>K23*$F$8</f>
        <v/>
      </c>
      <c r="H23" s="51">
        <f>G23-K23</f>
        <v/>
      </c>
      <c r="I23" s="51">
        <f>J23+K23</f>
        <v/>
      </c>
      <c r="J23" s="23">
        <f>IF(E23=0,0,ROUND(E23/($F$11-1),0))</f>
        <v/>
      </c>
      <c r="K23" s="23">
        <f>IF(F23=0,0,ROUND(F23/$F$8,0))</f>
        <v/>
      </c>
      <c r="L23" s="23">
        <f>B23+J23+K23</f>
        <v/>
      </c>
      <c r="M23" s="2" t="n"/>
      <c r="N23" s="23">
        <f>M23</f>
        <v/>
      </c>
      <c r="O23" s="23">
        <f>L23+N23</f>
        <v/>
      </c>
      <c r="P23" s="21">
        <f>IFERROR(L23/$L$41,0)</f>
        <v/>
      </c>
      <c r="Q23" s="21">
        <f>IFERROR(O23/$O$41,0)</f>
        <v/>
      </c>
    </row>
    <row r="24">
      <c r="A24" s="19" t="inlineStr">
        <is>
          <t>Marc Zöller</t>
        </is>
      </c>
      <c r="B24" s="2" t="n"/>
      <c r="C24" s="21">
        <f>IFERROR(B24/$B$41,0)</f>
        <v/>
      </c>
      <c r="D24" s="51">
        <f>E24+H24+I24</f>
        <v/>
      </c>
      <c r="E24" s="51">
        <f>G50</f>
        <v/>
      </c>
      <c r="F24" s="59" t="n">
        <v>10000</v>
      </c>
      <c r="G24" s="51">
        <f>K24*$F$8</f>
        <v/>
      </c>
      <c r="H24" s="51">
        <f>G24-K24</f>
        <v/>
      </c>
      <c r="I24" s="51">
        <f>J24+K24</f>
        <v/>
      </c>
      <c r="J24" s="23">
        <f>IF(E24=0,0,ROUND(E24/($F$11-1),0))</f>
        <v/>
      </c>
      <c r="K24" s="23">
        <f>IF(F24=0,0,ROUND(F24/$F$8,0))</f>
        <v/>
      </c>
      <c r="L24" s="23">
        <f>B24+J24+K24</f>
        <v/>
      </c>
      <c r="M24" s="2" t="n"/>
      <c r="N24" s="23">
        <f>M24</f>
        <v/>
      </c>
      <c r="O24" s="23">
        <f>L24+N24</f>
        <v/>
      </c>
      <c r="P24" s="21">
        <f>IFERROR(L24/$L$41,0)</f>
        <v/>
      </c>
      <c r="Q24" s="21">
        <f>IFERROR(O24/$O$41,0)</f>
        <v/>
      </c>
    </row>
    <row r="25">
      <c r="A25" s="19" t="inlineStr">
        <is>
          <t>GCI Ground Capital GmbH (Martin Groschke)</t>
        </is>
      </c>
      <c r="B25" s="2" t="n"/>
      <c r="C25" s="21">
        <f>IFERROR(B25/$B$41,0)</f>
        <v/>
      </c>
      <c r="D25" s="51">
        <f>E25+H25+I25</f>
        <v/>
      </c>
      <c r="E25" s="51">
        <f>G51</f>
        <v/>
      </c>
      <c r="F25" s="59" t="n">
        <v>25000</v>
      </c>
      <c r="G25" s="51">
        <f>K25*$F$8</f>
        <v/>
      </c>
      <c r="H25" s="51">
        <f>G25-K25</f>
        <v/>
      </c>
      <c r="I25" s="51">
        <f>J25+K25</f>
        <v/>
      </c>
      <c r="J25" s="23">
        <f>IF(E25=0,0,ROUND(E25/($F$11-1),0))</f>
        <v/>
      </c>
      <c r="K25" s="23">
        <f>IF(F25=0,0,ROUND(F25/$F$8,0))</f>
        <v/>
      </c>
      <c r="L25" s="23">
        <f>B25+J25+K25</f>
        <v/>
      </c>
      <c r="M25" s="2" t="n"/>
      <c r="N25" s="23">
        <f>M25</f>
        <v/>
      </c>
      <c r="O25" s="23">
        <f>L25+N25</f>
        <v/>
      </c>
      <c r="P25" s="21">
        <f>IFERROR(L25/$L$41,0)</f>
        <v/>
      </c>
      <c r="Q25" s="21">
        <f>IFERROR(O25/$O$41,0)</f>
        <v/>
      </c>
    </row>
    <row r="26">
      <c r="A26" s="19" t="inlineStr">
        <is>
          <t>Richard Gerstenberg</t>
        </is>
      </c>
      <c r="B26" s="2" t="n"/>
      <c r="C26" s="21">
        <f>IFERROR(B26/$B$41,0)</f>
        <v/>
      </c>
      <c r="D26" s="51">
        <f>E26+H26+I26</f>
        <v/>
      </c>
      <c r="E26" s="51">
        <f>G52</f>
        <v/>
      </c>
      <c r="F26" s="52" t="n"/>
      <c r="G26" s="51">
        <f>K26*$F$8</f>
        <v/>
      </c>
      <c r="H26" s="51">
        <f>G26-K26</f>
        <v/>
      </c>
      <c r="I26" s="51">
        <f>J26+K26</f>
        <v/>
      </c>
      <c r="J26" s="23">
        <f>IF(E26=0,0,ROUND(E26/($F$11-1),0))</f>
        <v/>
      </c>
      <c r="K26" s="23">
        <f>IF(F26=0,0,ROUND(F26/$F$8,0))</f>
        <v/>
      </c>
      <c r="L26" s="23">
        <f>B26+J26+K26</f>
        <v/>
      </c>
      <c r="M26" s="2" t="n"/>
      <c r="N26" s="23">
        <f>M26</f>
        <v/>
      </c>
      <c r="O26" s="23">
        <f>L26+N26</f>
        <v/>
      </c>
      <c r="P26" s="21">
        <f>IFERROR(L26/$L$41,0)</f>
        <v/>
      </c>
      <c r="Q26" s="21">
        <f>IFERROR(O26/$O$41,0)</f>
        <v/>
      </c>
    </row>
    <row r="27">
      <c r="A27" s="19" t="inlineStr">
        <is>
          <t>Alamii UG (Wolfgang Hackenberg)</t>
        </is>
      </c>
      <c r="B27" s="2" t="n"/>
      <c r="C27" s="21">
        <f>IFERROR(B27/$B$41,0)</f>
        <v/>
      </c>
      <c r="D27" s="51">
        <f>E27+H27+I27</f>
        <v/>
      </c>
      <c r="E27" s="51">
        <f>G53</f>
        <v/>
      </c>
      <c r="F27" s="52" t="n"/>
      <c r="G27" s="51">
        <f>K27*$F$8</f>
        <v/>
      </c>
      <c r="H27" s="51">
        <f>G27-K27</f>
        <v/>
      </c>
      <c r="I27" s="51">
        <f>J27+K27</f>
        <v/>
      </c>
      <c r="J27" s="23">
        <f>IF(E27=0,0,ROUND(E27/($F$11-1),0))</f>
        <v/>
      </c>
      <c r="K27" s="23">
        <f>IF(F27=0,0,ROUND(F27/$F$8,0))</f>
        <v/>
      </c>
      <c r="L27" s="23">
        <f>B27+J27+K27</f>
        <v/>
      </c>
      <c r="M27" s="2" t="n"/>
      <c r="N27" s="23">
        <f>M27</f>
        <v/>
      </c>
      <c r="O27" s="23">
        <f>L27+N27</f>
        <v/>
      </c>
      <c r="P27" s="21">
        <f>IFERROR(L27/$L$41,0)</f>
        <v/>
      </c>
      <c r="Q27" s="21">
        <f>IFERROR(O27/$O$41,0)</f>
        <v/>
      </c>
    </row>
    <row r="28">
      <c r="A28" s="19" t="inlineStr">
        <is>
          <t>Maik Kucksdorf</t>
        </is>
      </c>
      <c r="B28" s="2" t="n"/>
      <c r="C28" s="21">
        <f>IFERROR(B28/$B$41,0)</f>
        <v/>
      </c>
      <c r="D28" s="51">
        <f>E28+H28+I28</f>
        <v/>
      </c>
      <c r="E28" s="51">
        <f>G54</f>
        <v/>
      </c>
      <c r="F28" s="52" t="n"/>
      <c r="G28" s="51">
        <f>K28*$F$8</f>
        <v/>
      </c>
      <c r="H28" s="51">
        <f>G28-K28</f>
        <v/>
      </c>
      <c r="I28" s="51">
        <f>J28+K28</f>
        <v/>
      </c>
      <c r="J28" s="23">
        <f>IF(E28=0,0,ROUND(E28/($F$11-1),0))</f>
        <v/>
      </c>
      <c r="K28" s="23">
        <f>IF(F28=0,0,ROUND(F28/$F$8,0))</f>
        <v/>
      </c>
      <c r="L28" s="23">
        <f>B28+J28+K28</f>
        <v/>
      </c>
      <c r="M28" s="2" t="n"/>
      <c r="N28" s="23">
        <f>M28</f>
        <v/>
      </c>
      <c r="O28" s="23">
        <f>L28+N28</f>
        <v/>
      </c>
      <c r="P28" s="21">
        <f>IFERROR(L28/$L$41,0)</f>
        <v/>
      </c>
      <c r="Q28" s="21">
        <f>IFERROR(O28/$O$41,0)</f>
        <v/>
      </c>
    </row>
    <row r="29">
      <c r="A29" s="19" t="inlineStr">
        <is>
          <t>BPO Capital GmbH &amp; Co. KG (Otto)</t>
        </is>
      </c>
      <c r="B29" s="2" t="n"/>
      <c r="C29" s="21">
        <f>IFERROR(B29/$B$41,0)</f>
        <v/>
      </c>
      <c r="D29" s="51">
        <f>E29+H29+I29</f>
        <v/>
      </c>
      <c r="E29" s="51">
        <f>G55</f>
        <v/>
      </c>
      <c r="F29" s="52" t="n"/>
      <c r="G29" s="51">
        <f>K29*$F$8</f>
        <v/>
      </c>
      <c r="H29" s="51">
        <f>G29-K29</f>
        <v/>
      </c>
      <c r="I29" s="51">
        <f>J29+K29</f>
        <v/>
      </c>
      <c r="J29" s="23">
        <f>IF(E29=0,0,ROUND(E29/($F$11-1),0))</f>
        <v/>
      </c>
      <c r="K29" s="23">
        <f>IF(F29=0,0,ROUND(F29/$F$8,0))</f>
        <v/>
      </c>
      <c r="L29" s="23">
        <f>B29+J29+K29</f>
        <v/>
      </c>
      <c r="M29" s="2" t="n"/>
      <c r="N29" s="23">
        <f>M29</f>
        <v/>
      </c>
      <c r="O29" s="23">
        <f>L29+N29</f>
        <v/>
      </c>
      <c r="P29" s="21">
        <f>IFERROR(L29/$L$41,0)</f>
        <v/>
      </c>
      <c r="Q29" s="21">
        <f>IFERROR(O29/$O$41,0)</f>
        <v/>
      </c>
    </row>
    <row r="30">
      <c r="A30" s="19" t="inlineStr">
        <is>
          <t>Günther VC GmbH (Heimatboost)</t>
        </is>
      </c>
      <c r="B30" s="2" t="n"/>
      <c r="C30" s="21">
        <f>IFERROR(B30/$B$41,0)</f>
        <v/>
      </c>
      <c r="D30" s="51">
        <f>E30+H30+I30</f>
        <v/>
      </c>
      <c r="E30" s="51">
        <f>G56</f>
        <v/>
      </c>
      <c r="F30" s="52" t="n"/>
      <c r="G30" s="51">
        <f>K30*$F$8</f>
        <v/>
      </c>
      <c r="H30" s="51">
        <f>G30-K30</f>
        <v/>
      </c>
      <c r="I30" s="51">
        <f>J30+K30</f>
        <v/>
      </c>
      <c r="J30" s="23">
        <f>IF(E30=0,0,ROUND(E30/($F$11-1),0))</f>
        <v/>
      </c>
      <c r="K30" s="23">
        <f>IF(F30=0,0,ROUND(F30/$F$8,0))</f>
        <v/>
      </c>
      <c r="L30" s="23">
        <f>B30+J30+K30</f>
        <v/>
      </c>
      <c r="M30" s="2" t="n"/>
      <c r="N30" s="23">
        <f>M30</f>
        <v/>
      </c>
      <c r="O30" s="23">
        <f>L30+N30</f>
        <v/>
      </c>
      <c r="P30" s="21">
        <f>IFERROR(L30/$L$41,0)</f>
        <v/>
      </c>
      <c r="Q30" s="21">
        <f>IFERROR(O30/$O$41,0)</f>
        <v/>
      </c>
    </row>
    <row r="31">
      <c r="A31" s="19" t="inlineStr">
        <is>
          <t>Lieberwirth Invest GmbH (Heimatboost)</t>
        </is>
      </c>
      <c r="B31" s="2" t="n"/>
      <c r="C31" s="21">
        <f>IFERROR(B31/$B$41,0)</f>
        <v/>
      </c>
      <c r="D31" s="51">
        <f>E31+H31+I31</f>
        <v/>
      </c>
      <c r="E31" s="51">
        <f>G57</f>
        <v/>
      </c>
      <c r="F31" s="52" t="n"/>
      <c r="G31" s="51">
        <f>K31*$F$8</f>
        <v/>
      </c>
      <c r="H31" s="51">
        <f>G31-K31</f>
        <v/>
      </c>
      <c r="I31" s="51">
        <f>J31+K31</f>
        <v/>
      </c>
      <c r="J31" s="23">
        <f>IF(E31=0,0,ROUND(E31/($F$11-1),0))</f>
        <v/>
      </c>
      <c r="K31" s="23">
        <f>IF(F31=0,0,ROUND(F31/$F$8,0))</f>
        <v/>
      </c>
      <c r="L31" s="23">
        <f>B31+J31+K31</f>
        <v/>
      </c>
      <c r="M31" s="2" t="n"/>
      <c r="N31" s="23">
        <f>M31</f>
        <v/>
      </c>
      <c r="O31" s="23">
        <f>L31+N31</f>
        <v/>
      </c>
      <c r="P31" s="21">
        <f>IFERROR(L31/$L$41,0)</f>
        <v/>
      </c>
      <c r="Q31" s="21">
        <f>IFERROR(O31/$O$41,0)</f>
        <v/>
      </c>
    </row>
    <row r="32">
      <c r="A32" s="19" t="inlineStr">
        <is>
          <t>Welotec Holding GmbH (Heimatboost)</t>
        </is>
      </c>
      <c r="B32" s="2" t="n"/>
      <c r="C32" s="21">
        <f>IFERROR(B32/$B$41,0)</f>
        <v/>
      </c>
      <c r="D32" s="51">
        <f>E32+H32+I32</f>
        <v/>
      </c>
      <c r="E32" s="51">
        <f>G58</f>
        <v/>
      </c>
      <c r="F32" s="52" t="n"/>
      <c r="G32" s="51">
        <f>K32*$F$8</f>
        <v/>
      </c>
      <c r="H32" s="51">
        <f>G32-K32</f>
        <v/>
      </c>
      <c r="I32" s="51">
        <f>J32+K32</f>
        <v/>
      </c>
      <c r="J32" s="23">
        <f>IF(E32=0,0,ROUND(E32/($F$11-1),0))</f>
        <v/>
      </c>
      <c r="K32" s="23">
        <f>IF(F32=0,0,ROUND(F32/$F$8,0))</f>
        <v/>
      </c>
      <c r="L32" s="23">
        <f>B32+J32+K32</f>
        <v/>
      </c>
      <c r="M32" s="2" t="n"/>
      <c r="N32" s="23">
        <f>M32</f>
        <v/>
      </c>
      <c r="O32" s="23">
        <f>L32+N32</f>
        <v/>
      </c>
      <c r="P32" s="21">
        <f>IFERROR(L32/$L$41,0)</f>
        <v/>
      </c>
      <c r="Q32" s="21">
        <f>IFERROR(O32/$O$41,0)</f>
        <v/>
      </c>
    </row>
    <row r="33">
      <c r="A33" s="19" t="inlineStr">
        <is>
          <t>HS Investment GmbH (Heimatboost)</t>
        </is>
      </c>
      <c r="B33" s="2" t="n"/>
      <c r="C33" s="21">
        <f>IFERROR(B33/$B$41,0)</f>
        <v/>
      </c>
      <c r="D33" s="51">
        <f>E33+H33+I33</f>
        <v/>
      </c>
      <c r="E33" s="51">
        <f>G59</f>
        <v/>
      </c>
      <c r="F33" s="52" t="n"/>
      <c r="G33" s="51">
        <f>K33*$F$8</f>
        <v/>
      </c>
      <c r="H33" s="51">
        <f>G33-K33</f>
        <v/>
      </c>
      <c r="I33" s="51">
        <f>J33+K33</f>
        <v/>
      </c>
      <c r="J33" s="23">
        <f>IF(E33=0,0,ROUND(E33/($F$11-1),0))</f>
        <v/>
      </c>
      <c r="K33" s="23">
        <f>IF(F33=0,0,ROUND(F33/$F$8,0))</f>
        <v/>
      </c>
      <c r="L33" s="23">
        <f>B33+J33+K33</f>
        <v/>
      </c>
      <c r="M33" s="2" t="n"/>
      <c r="N33" s="23">
        <f>M33</f>
        <v/>
      </c>
      <c r="O33" s="23">
        <f>L33+N33</f>
        <v/>
      </c>
      <c r="P33" s="21">
        <f>IFERROR(L33/$L$41,0)</f>
        <v/>
      </c>
      <c r="Q33" s="21">
        <f>IFERROR(O33/$O$41,0)</f>
        <v/>
      </c>
    </row>
    <row r="34">
      <c r="A34" s="19" t="inlineStr">
        <is>
          <t>LEVAL Vermögens- u. Beteiligungs GmbH (Heimatboost)</t>
        </is>
      </c>
      <c r="B34" s="2" t="n"/>
      <c r="C34" s="21">
        <f>IFERROR(B34/$B$41,0)</f>
        <v/>
      </c>
      <c r="D34" s="51">
        <f>E34+H34+I34</f>
        <v/>
      </c>
      <c r="E34" s="51">
        <f>G60</f>
        <v/>
      </c>
      <c r="F34" s="52" t="n"/>
      <c r="G34" s="51">
        <f>K34*$F$8</f>
        <v/>
      </c>
      <c r="H34" s="51">
        <f>G34-K34</f>
        <v/>
      </c>
      <c r="I34" s="51">
        <f>J34+K34</f>
        <v/>
      </c>
      <c r="J34" s="23">
        <f>IF(E34=0,0,ROUND(E34/($F$11-1),0))</f>
        <v/>
      </c>
      <c r="K34" s="23">
        <f>IF(F34=0,0,ROUND(F34/$F$8,0))</f>
        <v/>
      </c>
      <c r="L34" s="23">
        <f>B34+J34+K34</f>
        <v/>
      </c>
      <c r="M34" s="2" t="n"/>
      <c r="N34" s="23">
        <f>M34</f>
        <v/>
      </c>
      <c r="O34" s="23">
        <f>L34+N34</f>
        <v/>
      </c>
      <c r="P34" s="21">
        <f>IFERROR(L34/$L$41,0)</f>
        <v/>
      </c>
      <c r="Q34" s="21">
        <f>IFERROR(O34/$O$41,0)</f>
        <v/>
      </c>
    </row>
    <row r="35">
      <c r="A35" s="19" t="inlineStr">
        <is>
          <t>Bernhard Werning (Heimatboost)</t>
        </is>
      </c>
      <c r="B35" s="2" t="n"/>
      <c r="C35" s="21">
        <f>IFERROR(B35/$B$41,0)</f>
        <v/>
      </c>
      <c r="D35" s="51">
        <f>E35+H35+I35</f>
        <v/>
      </c>
      <c r="E35" s="51">
        <f>G61</f>
        <v/>
      </c>
      <c r="F35" s="52" t="n"/>
      <c r="G35" s="51">
        <f>K35*$F$8</f>
        <v/>
      </c>
      <c r="H35" s="51">
        <f>G35-K35</f>
        <v/>
      </c>
      <c r="I35" s="51">
        <f>J35+K35</f>
        <v/>
      </c>
      <c r="J35" s="23">
        <f>IF(E35=0,0,ROUND(E35/($F$11-1),0))</f>
        <v/>
      </c>
      <c r="K35" s="23">
        <f>IF(F35=0,0,ROUND(F35/$F$8,0))</f>
        <v/>
      </c>
      <c r="L35" s="23">
        <f>B35+J35+K35</f>
        <v/>
      </c>
      <c r="M35" s="2" t="n"/>
      <c r="N35" s="23">
        <f>M35</f>
        <v/>
      </c>
      <c r="O35" s="23">
        <f>L35+N35</f>
        <v/>
      </c>
      <c r="P35" s="21">
        <f>IFERROR(L35/$L$41,0)</f>
        <v/>
      </c>
      <c r="Q35" s="21">
        <f>IFERROR(O35/$O$41,0)</f>
        <v/>
      </c>
    </row>
    <row r="36">
      <c r="A36" s="19" t="inlineStr">
        <is>
          <t>Silder &amp; Müllmann Beteiligungs GmbH (Heimatboost)</t>
        </is>
      </c>
      <c r="B36" s="2" t="n"/>
      <c r="C36" s="21">
        <f>IFERROR(B36/$B$41,0)</f>
        <v/>
      </c>
      <c r="D36" s="51">
        <f>E36+H36+I36</f>
        <v/>
      </c>
      <c r="E36" s="51">
        <f>G62</f>
        <v/>
      </c>
      <c r="F36" s="52" t="n"/>
      <c r="G36" s="51">
        <f>K36*$F$8</f>
        <v/>
      </c>
      <c r="H36" s="51">
        <f>G36-K36</f>
        <v/>
      </c>
      <c r="I36" s="51">
        <f>J36+K36</f>
        <v/>
      </c>
      <c r="J36" s="23">
        <f>IF(E36=0,0,ROUND(E36/($F$11-1),0))</f>
        <v/>
      </c>
      <c r="K36" s="23">
        <f>IF(F36=0,0,ROUND(F36/$F$8,0))</f>
        <v/>
      </c>
      <c r="L36" s="23">
        <f>B36+J36+K36</f>
        <v/>
      </c>
      <c r="M36" s="2" t="n"/>
      <c r="N36" s="23">
        <f>M36</f>
        <v/>
      </c>
      <c r="O36" s="23">
        <f>L36+N36</f>
        <v/>
      </c>
      <c r="P36" s="21">
        <f>IFERROR(L36/$L$41,0)</f>
        <v/>
      </c>
      <c r="Q36" s="21">
        <f>IFERROR(O36/$O$41,0)</f>
        <v/>
      </c>
    </row>
    <row r="37">
      <c r="A37" s="19" t="inlineStr">
        <is>
          <t>ARNO GmbH</t>
        </is>
      </c>
      <c r="B37" s="2" t="n"/>
      <c r="C37" s="21">
        <f>IFERROR(B37/$B$41,0)</f>
        <v/>
      </c>
      <c r="D37" s="51">
        <f>E37+H37+I37</f>
        <v/>
      </c>
      <c r="E37" s="52" t="n"/>
      <c r="F37" s="53" t="n">
        <v>500000</v>
      </c>
      <c r="G37" s="51">
        <f>K37*$F$8</f>
        <v/>
      </c>
      <c r="H37" s="51">
        <f>G37-K37</f>
        <v/>
      </c>
      <c r="I37" s="51">
        <f>J37+K37</f>
        <v/>
      </c>
      <c r="J37" s="23">
        <f>IF(E37=0,0,ROUND(E37/($F$11-1),0))</f>
        <v/>
      </c>
      <c r="K37" s="23">
        <f>IF(F37=0,0,ROUND(F37/$F$8,0))</f>
        <v/>
      </c>
      <c r="L37" s="23">
        <f>B37+J37+K37</f>
        <v/>
      </c>
      <c r="M37" s="2" t="n"/>
      <c r="N37" s="23">
        <f>M37</f>
        <v/>
      </c>
      <c r="O37" s="23">
        <f>L37+N37</f>
        <v/>
      </c>
      <c r="P37" s="21">
        <f>IFERROR(L37/$L$41,0)</f>
        <v/>
      </c>
      <c r="Q37" s="21">
        <f>IFERROR(O37/$O$41,0)</f>
        <v/>
      </c>
    </row>
    <row r="38">
      <c r="A38" s="19" t="inlineStr">
        <is>
          <t>Luxembourg Business Angel Network (LBAN)</t>
        </is>
      </c>
      <c r="B38" s="2" t="n"/>
      <c r="C38" s="21">
        <f>IFERROR(B38/$B$41,0)</f>
        <v/>
      </c>
      <c r="D38" s="51">
        <f>E38+H38+I38</f>
        <v/>
      </c>
      <c r="E38" s="52" t="n"/>
      <c r="F38" s="53" t="n">
        <v>50000</v>
      </c>
      <c r="G38" s="51">
        <f>K38*$F$8</f>
        <v/>
      </c>
      <c r="H38" s="51">
        <f>G38-K38</f>
        <v/>
      </c>
      <c r="I38" s="51">
        <f>J38+K38</f>
        <v/>
      </c>
      <c r="J38" s="23">
        <f>IF(E38=0,0,ROUND(E38/($F$11-1),0))</f>
        <v/>
      </c>
      <c r="K38" s="23">
        <f>IF(F38=0,0,ROUND(F38/$F$8,0))</f>
        <v/>
      </c>
      <c r="L38" s="23">
        <f>B38+J38+K38</f>
        <v/>
      </c>
      <c r="M38" s="2" t="n"/>
      <c r="N38" s="23">
        <f>M38</f>
        <v/>
      </c>
      <c r="O38" s="23">
        <f>L38+N38</f>
        <v/>
      </c>
      <c r="P38" s="21">
        <f>IFERROR(L38/$L$41,0)</f>
        <v/>
      </c>
      <c r="Q38" s="21">
        <f>IFERROR(O38/$O$41,0)</f>
        <v/>
      </c>
    </row>
    <row r="39">
      <c r="A39" s="25" t="inlineStr">
        <is>
          <t>Weitere Seed-Investoren (Pool) — offen</t>
        </is>
      </c>
      <c r="B39" s="2" t="n"/>
      <c r="C39" s="21">
        <f>IFERROR(B39/$B$41,0)</f>
        <v/>
      </c>
      <c r="D39" s="51">
        <f>E39+H39+I39</f>
        <v/>
      </c>
      <c r="E39" s="52" t="n"/>
      <c r="F39" s="53" t="n">
        <v>0</v>
      </c>
      <c r="G39" s="51">
        <f>K39*$F$8</f>
        <v/>
      </c>
      <c r="H39" s="51">
        <f>G39-K39</f>
        <v/>
      </c>
      <c r="I39" s="54">
        <f>J39+K39</f>
        <v/>
      </c>
      <c r="J39" s="23">
        <f>IF(E39=0,0,ROUND(E39/($F$11-1),0))</f>
        <v/>
      </c>
      <c r="K39" s="23">
        <f>IF(F39=0,0,ROUND(F39/$F$8,0))</f>
        <v/>
      </c>
      <c r="L39" s="23">
        <f>B39+J39+K39</f>
        <v/>
      </c>
      <c r="M39" s="2" t="n"/>
      <c r="N39" s="23">
        <f>M39</f>
        <v/>
      </c>
      <c r="O39" s="23">
        <f>L39+N39</f>
        <v/>
      </c>
      <c r="P39" s="21">
        <f>IFERROR(L39/$L$41,0)</f>
        <v/>
      </c>
      <c r="Q39" s="21">
        <f>IFERROR(O39/$O$41,0)</f>
        <v/>
      </c>
      <c r="S39" s="7" t="n"/>
    </row>
    <row r="40">
      <c r="A40" s="19" t="inlineStr">
        <is>
          <t>VSOP-Pool I (virtuelle Anteile, 10% fully diluted, pre-Seed)</t>
        </is>
      </c>
      <c r="B40" s="2" t="n"/>
      <c r="C40" s="8" t="n"/>
      <c r="D40" s="52" t="n"/>
      <c r="E40" s="52" t="n"/>
      <c r="F40" s="52" t="n"/>
      <c r="G40" s="52" t="n"/>
      <c r="H40" s="52" t="n"/>
      <c r="I40" s="52" t="n"/>
      <c r="J40" s="2" t="n"/>
      <c r="K40" s="2" t="n"/>
      <c r="L40" s="23">
        <f>B40+J40+K40</f>
        <v/>
      </c>
      <c r="M40" s="23">
        <f>ROUND((25000+SUM(J16:J39))*0.1/0.9,0)</f>
        <v/>
      </c>
      <c r="N40" s="23">
        <f>M40</f>
        <v/>
      </c>
      <c r="O40" s="23">
        <f>L40+N40</f>
        <v/>
      </c>
      <c r="P40" s="21">
        <f>IFERROR(L40/$L$41,0)</f>
        <v/>
      </c>
      <c r="Q40" s="21">
        <f>IFERROR(O40/$O$41,0)</f>
        <v/>
      </c>
    </row>
    <row r="41">
      <c r="A41" s="27" t="inlineStr">
        <is>
          <t>Gesamt</t>
        </is>
      </c>
      <c r="B41" s="28">
        <f>SUM(B16:B40)</f>
        <v/>
      </c>
      <c r="C41" s="29">
        <f>SUM(C16:C40)</f>
        <v/>
      </c>
      <c r="D41" s="55">
        <f>SUM(D16:D40)</f>
        <v/>
      </c>
      <c r="E41" s="55">
        <f>SUM(E16:E40)</f>
        <v/>
      </c>
      <c r="F41" s="55">
        <f>SUM(F16:F40)</f>
        <v/>
      </c>
      <c r="G41" s="55">
        <f>SUM(G16:G40)</f>
        <v/>
      </c>
      <c r="H41" s="55">
        <f>SUM(H16:H40)</f>
        <v/>
      </c>
      <c r="I41" s="55">
        <f>SUM(I16:I40)</f>
        <v/>
      </c>
      <c r="J41" s="28">
        <f>SUM(J16:J40)</f>
        <v/>
      </c>
      <c r="K41" s="28">
        <f>SUM(K16:K40)</f>
        <v/>
      </c>
      <c r="L41" s="28">
        <f>SUM(L16:L40)</f>
        <v/>
      </c>
      <c r="M41" s="28">
        <f>SUM(M16:M40)</f>
        <v/>
      </c>
      <c r="N41" s="28">
        <f>SUM(N16:N40)</f>
        <v/>
      </c>
      <c r="O41" s="28">
        <f>SUM(O16:O40)</f>
        <v/>
      </c>
      <c r="P41" s="29">
        <f>SUM(P16:P40)</f>
        <v/>
      </c>
      <c r="Q41" s="29">
        <f>SUM(Q16:Q40)</f>
        <v/>
      </c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 ht="28" customHeight="1">
      <c r="A43" s="3" t="n"/>
      <c r="B43" s="3" t="n"/>
      <c r="C43" s="3" t="n"/>
      <c r="D43" s="31" t="inlineStr">
        <is>
          <t>Wandlung der Bestands-Wandeldarlehen (Detail) — Wandlungsbetrag = Principal + aufgel. Zinsen (30E/360 bis 13.07.2026)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3" t="n"/>
      <c r="C44" s="3" t="n"/>
      <c r="D44" s="32" t="inlineStr">
        <is>
          <t>Darlehensgeber</t>
        </is>
      </c>
      <c r="E44" s="32" t="inlineStr">
        <is>
          <t>Principal (€)</t>
        </is>
      </c>
      <c r="F44" s="32" t="inlineStr">
        <is>
          <t>Zinsen (€)</t>
        </is>
      </c>
      <c r="G44" s="32" t="inlineStr">
        <is>
          <t>Wandlungsbetrag (€)</t>
        </is>
      </c>
      <c r="H44" s="4" t="n"/>
      <c r="I44" s="4" t="n"/>
      <c r="J44" s="4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n"/>
      <c r="B45" s="3" t="n"/>
      <c r="C45" s="3" t="n"/>
      <c r="D45" s="19" t="inlineStr">
        <is>
          <t>Baltic Business Angels (Damerow)</t>
        </is>
      </c>
      <c r="E45" s="53" t="n">
        <v>300000</v>
      </c>
      <c r="F45" s="56" t="n">
        <v>9666.66</v>
      </c>
      <c r="G45" s="51">
        <f>E45+F45</f>
        <v/>
      </c>
      <c r="H45" s="5" t="n"/>
      <c r="I45" s="3" t="n"/>
      <c r="J45" s="5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n"/>
      <c r="B46" s="3" t="n"/>
      <c r="C46" s="3" t="n"/>
      <c r="D46" s="19" t="inlineStr">
        <is>
          <t>Optima / van Velsen</t>
        </is>
      </c>
      <c r="E46" s="53" t="n">
        <v>150000</v>
      </c>
      <c r="F46" s="56" t="n">
        <v>9750</v>
      </c>
      <c r="G46" s="51">
        <f>E46+F46</f>
        <v/>
      </c>
      <c r="H46" s="5" t="n"/>
      <c r="I46" s="3" t="n"/>
      <c r="J46" s="5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n"/>
      <c r="B47" s="3" t="n"/>
      <c r="C47" s="3" t="n"/>
      <c r="D47" s="19" t="inlineStr">
        <is>
          <t>Ecoverse Ventures</t>
        </is>
      </c>
      <c r="E47" s="53" t="n">
        <v>50000</v>
      </c>
      <c r="F47" s="56" t="n">
        <v>3291.67</v>
      </c>
      <c r="G47" s="51">
        <f>E47+F47</f>
        <v/>
      </c>
      <c r="H47" s="5" t="n"/>
      <c r="I47" s="3" t="n"/>
      <c r="J47" s="5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n"/>
      <c r="B48" s="3" t="n"/>
      <c r="C48" s="3" t="n"/>
      <c r="D48" s="19" t="inlineStr">
        <is>
          <t>Martin Esters</t>
        </is>
      </c>
      <c r="E48" s="53" t="n">
        <v>50000</v>
      </c>
      <c r="F48" s="56" t="n">
        <v>2569.44</v>
      </c>
      <c r="G48" s="51">
        <f>E48+F48</f>
        <v/>
      </c>
      <c r="H48" s="5" t="n"/>
      <c r="I48" s="3" t="n"/>
      <c r="J48" s="5" t="n"/>
      <c r="K48" s="3" t="n"/>
      <c r="L48" s="3" t="n"/>
      <c r="M48" s="3" t="n"/>
      <c r="N48" s="3" t="n"/>
      <c r="O48" s="3" t="n"/>
      <c r="P48" s="3" t="n"/>
      <c r="Q48" s="3" t="n"/>
    </row>
    <row r="49">
      <c r="A49" s="3" t="n"/>
      <c r="B49" s="3" t="n"/>
      <c r="C49" s="3" t="n"/>
      <c r="D49" s="19" t="inlineStr">
        <is>
          <t>Daniel Beutler</t>
        </is>
      </c>
      <c r="E49" s="53" t="n">
        <v>50000</v>
      </c>
      <c r="F49" s="56" t="n">
        <v>1825</v>
      </c>
      <c r="G49" s="51">
        <f>E49+F49</f>
        <v/>
      </c>
      <c r="H49" s="5" t="n"/>
      <c r="I49" s="3" t="n"/>
      <c r="J49" s="5" t="n"/>
      <c r="K49" s="3" t="n"/>
      <c r="L49" s="3" t="n"/>
      <c r="M49" s="3" t="n"/>
      <c r="N49" s="3" t="n"/>
      <c r="O49" s="3" t="n"/>
      <c r="P49" s="3" t="n"/>
      <c r="Q49" s="3" t="n"/>
    </row>
    <row r="50">
      <c r="A50" s="3" t="n"/>
      <c r="B50" s="3" t="n"/>
      <c r="C50" s="3" t="n"/>
      <c r="D50" s="19" t="inlineStr">
        <is>
          <t>Marc Zöller</t>
        </is>
      </c>
      <c r="E50" s="53" t="n">
        <v>45000</v>
      </c>
      <c r="F50" s="56" t="n">
        <v>1836.81</v>
      </c>
      <c r="G50" s="51">
        <f>E50+F50</f>
        <v/>
      </c>
      <c r="H50" s="5" t="n"/>
      <c r="I50" s="3" t="n"/>
      <c r="J50" s="5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n"/>
      <c r="B51" s="3" t="n"/>
      <c r="C51" s="3" t="n"/>
      <c r="D51" s="19" t="inlineStr">
        <is>
          <t>Martin Groschke (GCI)</t>
        </is>
      </c>
      <c r="E51" s="53" t="n">
        <v>25000</v>
      </c>
      <c r="F51" s="56" t="n">
        <v>1239.58</v>
      </c>
      <c r="G51" s="51">
        <f>E51+F51</f>
        <v/>
      </c>
      <c r="H51" s="5" t="n"/>
      <c r="I51" s="3" t="n"/>
      <c r="J51" s="5" t="n"/>
      <c r="K51" s="3" t="n"/>
      <c r="L51" s="3" t="n"/>
      <c r="M51" s="3" t="n"/>
      <c r="N51" s="3" t="n"/>
      <c r="O51" s="3" t="n"/>
      <c r="P51" s="3" t="n"/>
      <c r="Q51" s="3" t="n"/>
    </row>
    <row r="52">
      <c r="A52" s="3" t="n"/>
      <c r="B52" s="3" t="n"/>
      <c r="C52" s="3" t="n"/>
      <c r="D52" s="19" t="inlineStr">
        <is>
          <t>Richard Gerstenberg</t>
        </is>
      </c>
      <c r="E52" s="53" t="n">
        <v>25000</v>
      </c>
      <c r="F52" s="56" t="n">
        <v>1125</v>
      </c>
      <c r="G52" s="51">
        <f>E52+F52</f>
        <v/>
      </c>
      <c r="H52" s="5" t="n"/>
      <c r="I52" s="3" t="n"/>
      <c r="J52" s="5" t="n"/>
      <c r="K52" s="3" t="n"/>
      <c r="L52" s="3" t="n"/>
      <c r="M52" s="3" t="n"/>
      <c r="N52" s="3" t="n"/>
      <c r="O52" s="3" t="n"/>
      <c r="P52" s="3" t="n"/>
      <c r="Q52" s="3" t="n"/>
    </row>
    <row r="53">
      <c r="A53" s="3" t="n"/>
      <c r="B53" s="3" t="n"/>
      <c r="C53" s="3" t="n"/>
      <c r="D53" s="19" t="inlineStr">
        <is>
          <t>Wolfgang Hackenberg (Alamii UG)</t>
        </is>
      </c>
      <c r="E53" s="53" t="n">
        <v>25000</v>
      </c>
      <c r="F53" s="56" t="n">
        <v>496.53</v>
      </c>
      <c r="G53" s="51">
        <f>E53+F53</f>
        <v/>
      </c>
      <c r="H53" s="5" t="n"/>
      <c r="I53" s="3" t="n"/>
      <c r="J53" s="5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3" t="n"/>
      <c r="C54" s="3" t="n"/>
      <c r="D54" s="19" t="inlineStr">
        <is>
          <t>Maik Kucksdorf</t>
        </is>
      </c>
      <c r="E54" s="53" t="n">
        <v>20000</v>
      </c>
      <c r="F54" s="56" t="n">
        <v>1386.11</v>
      </c>
      <c r="G54" s="51">
        <f>E54+F54</f>
        <v/>
      </c>
      <c r="H54" s="5" t="n"/>
      <c r="I54" s="3" t="n"/>
      <c r="J54" s="5" t="n"/>
      <c r="K54" s="3" t="n"/>
      <c r="L54" s="3" t="n"/>
      <c r="M54" s="3" t="n"/>
      <c r="N54" s="3" t="n"/>
      <c r="O54" s="3" t="n"/>
      <c r="P54" s="3" t="n"/>
      <c r="Q54" s="3" t="n"/>
    </row>
    <row r="55">
      <c r="A55" s="3" t="n"/>
      <c r="B55" s="3" t="n"/>
      <c r="C55" s="3" t="n"/>
      <c r="D55" s="19" t="inlineStr">
        <is>
          <t>BPO Capital</t>
        </is>
      </c>
      <c r="E55" s="53" t="n">
        <v>15000</v>
      </c>
      <c r="F55" s="56" t="n">
        <v>783.33</v>
      </c>
      <c r="G55" s="51">
        <f>E55+F55</f>
        <v/>
      </c>
      <c r="H55" s="5" t="n"/>
      <c r="I55" s="3" t="n"/>
      <c r="J55" s="5" t="n"/>
      <c r="K55" s="3" t="n"/>
      <c r="L55" s="3" t="n"/>
      <c r="M55" s="3" t="n"/>
      <c r="N55" s="3" t="n"/>
      <c r="O55" s="3" t="n"/>
      <c r="P55" s="3" t="n"/>
      <c r="Q55" s="3" t="n"/>
    </row>
    <row r="56">
      <c r="A56" s="3" t="n"/>
      <c r="B56" s="3" t="n"/>
      <c r="C56" s="3" t="n"/>
      <c r="D56" s="19" t="inlineStr">
        <is>
          <t>Günther VC (Heimatboost)</t>
        </is>
      </c>
      <c r="E56" s="53" t="n">
        <v>30000</v>
      </c>
      <c r="F56" s="56" t="n">
        <v>1566.67</v>
      </c>
      <c r="G56" s="51">
        <f>E56+F56</f>
        <v/>
      </c>
      <c r="H56" s="5" t="n"/>
      <c r="I56" s="3" t="n"/>
      <c r="J56" s="5" t="n"/>
      <c r="K56" s="3" t="n"/>
      <c r="L56" s="3" t="n"/>
      <c r="M56" s="3" t="n"/>
      <c r="N56" s="3" t="n"/>
      <c r="O56" s="3" t="n"/>
      <c r="P56" s="3" t="n"/>
      <c r="Q56" s="3" t="n"/>
    </row>
    <row r="57">
      <c r="A57" s="3" t="n"/>
      <c r="B57" s="3" t="n"/>
      <c r="C57" s="3" t="n"/>
      <c r="D57" s="19" t="inlineStr">
        <is>
          <t>Lieberwirth (Heimatboost)</t>
        </is>
      </c>
      <c r="E57" s="53" t="n">
        <v>30000</v>
      </c>
      <c r="F57" s="56" t="n">
        <v>1541.67</v>
      </c>
      <c r="G57" s="51">
        <f>E57+F57</f>
        <v/>
      </c>
      <c r="H57" s="5" t="n"/>
      <c r="I57" s="3" t="n"/>
      <c r="J57" s="5" t="n"/>
      <c r="K57" s="3" t="n"/>
      <c r="L57" s="3" t="n"/>
      <c r="M57" s="3" t="n"/>
      <c r="N57" s="3" t="n"/>
      <c r="O57" s="3" t="n"/>
      <c r="P57" s="3" t="n"/>
      <c r="Q57" s="3" t="n"/>
    </row>
    <row r="58">
      <c r="A58" s="3" t="n"/>
      <c r="B58" s="3" t="n"/>
      <c r="C58" s="3" t="n"/>
      <c r="D58" s="19" t="inlineStr">
        <is>
          <t>Welotec (Heimatboost)</t>
        </is>
      </c>
      <c r="E58" s="53" t="n">
        <v>30000</v>
      </c>
      <c r="F58" s="56" t="n">
        <v>1537.5</v>
      </c>
      <c r="G58" s="51">
        <f>E58+F58</f>
        <v/>
      </c>
      <c r="H58" s="5" t="n"/>
      <c r="I58" s="3" t="n"/>
      <c r="J58" s="5" t="n"/>
      <c r="K58" s="3" t="n"/>
      <c r="L58" s="3" t="n"/>
      <c r="M58" s="3" t="n"/>
      <c r="N58" s="3" t="n"/>
      <c r="O58" s="3" t="n"/>
      <c r="P58" s="3" t="n"/>
      <c r="Q58" s="3" t="n"/>
    </row>
    <row r="59">
      <c r="A59" s="3" t="n"/>
      <c r="B59" s="3" t="n"/>
      <c r="C59" s="3" t="n"/>
      <c r="D59" s="19" t="inlineStr">
        <is>
          <t>HS Investment (Heimatboost)</t>
        </is>
      </c>
      <c r="E59" s="53" t="n">
        <v>20000</v>
      </c>
      <c r="F59" s="56" t="n">
        <v>1027.78</v>
      </c>
      <c r="G59" s="51">
        <f>E59+F59</f>
        <v/>
      </c>
      <c r="H59" s="5" t="n"/>
      <c r="I59" s="3" t="n"/>
      <c r="J59" s="5" t="n"/>
      <c r="K59" s="3" t="n"/>
      <c r="L59" s="3" t="n"/>
      <c r="M59" s="3" t="n"/>
      <c r="N59" s="3" t="n"/>
      <c r="O59" s="3" t="n"/>
      <c r="P59" s="3" t="n"/>
      <c r="Q59" s="3" t="n"/>
    </row>
    <row r="60">
      <c r="A60" s="3" t="n"/>
      <c r="B60" s="3" t="n"/>
      <c r="C60" s="3" t="n"/>
      <c r="D60" s="19" t="inlineStr">
        <is>
          <t>LEVAL (Heimatboost)</t>
        </is>
      </c>
      <c r="E60" s="53" t="n">
        <v>20000</v>
      </c>
      <c r="F60" s="56" t="n">
        <v>1001.39</v>
      </c>
      <c r="G60" s="51">
        <f>E60+F60</f>
        <v/>
      </c>
      <c r="H60" s="5" t="n"/>
      <c r="I60" s="3" t="n"/>
      <c r="J60" s="5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19" t="inlineStr">
        <is>
          <t>Bernhard Werning (Heimatboost)</t>
        </is>
      </c>
      <c r="E61" s="53" t="n">
        <v>10100</v>
      </c>
      <c r="F61" s="56" t="n">
        <v>503.6</v>
      </c>
      <c r="G61" s="51">
        <f>E61+F61</f>
        <v/>
      </c>
      <c r="H61" s="5" t="n"/>
      <c r="I61" s="3" t="n"/>
      <c r="J61" s="5" t="n"/>
      <c r="K61" s="3" t="n"/>
      <c r="L61" s="3" t="n"/>
      <c r="M61" s="3" t="n"/>
      <c r="N61" s="3" t="n"/>
      <c r="O61" s="3" t="n"/>
      <c r="P61" s="3" t="n"/>
      <c r="Q61" s="3" t="n"/>
    </row>
    <row r="62">
      <c r="A62" s="3" t="n"/>
      <c r="B62" s="3" t="n"/>
      <c r="C62" s="3" t="n"/>
      <c r="D62" s="19" t="inlineStr">
        <is>
          <t>Silder &amp; Müllmann (Heimatboost)</t>
        </is>
      </c>
      <c r="E62" s="53" t="n">
        <v>10000</v>
      </c>
      <c r="F62" s="56" t="n">
        <v>495.83</v>
      </c>
      <c r="G62" s="51">
        <f>E62+F62</f>
        <v/>
      </c>
      <c r="H62" s="5" t="n"/>
      <c r="I62" s="3" t="n"/>
      <c r="J62" s="5" t="n"/>
      <c r="K62" s="3" t="n"/>
      <c r="L62" s="3" t="n"/>
      <c r="M62" s="3" t="n"/>
      <c r="N62" s="3" t="n"/>
      <c r="O62" s="3" t="n"/>
      <c r="P62" s="3" t="n"/>
      <c r="Q62" s="3" t="n"/>
    </row>
    <row r="63">
      <c r="A63" s="3" t="n"/>
      <c r="B63" s="3" t="n"/>
      <c r="C63" s="3" t="n"/>
      <c r="D63" s="34" t="inlineStr">
        <is>
          <t>Summe</t>
        </is>
      </c>
      <c r="E63" s="57">
        <f>SUM(E45:E62)</f>
        <v/>
      </c>
      <c r="F63" s="57">
        <f>SUM(F45:F62)</f>
        <v/>
      </c>
      <c r="G63" s="57">
        <f>SUM(G45:G62)</f>
        <v/>
      </c>
      <c r="H63" s="6" t="n"/>
      <c r="I63" s="3" t="n"/>
      <c r="J63" s="6" t="n"/>
      <c r="K63" s="3" t="n"/>
      <c r="L63" s="3" t="n"/>
      <c r="M63" s="3" t="n"/>
      <c r="N63" s="3" t="n"/>
      <c r="O63" s="3" t="n"/>
      <c r="P63" s="3" t="n"/>
      <c r="Q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</sheetData>
  <mergeCells count="2">
    <mergeCell ref="B14:C14"/>
    <mergeCell ref="D14:Q14"/>
  </mergeCells>
  <pageMargins left="0.3" right="0.3" top="0.5" bottom="0.5" header="0.2" footer="0.2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C5" sqref="C5"/>
    </sheetView>
  </sheetViews>
  <sheetFormatPr baseColWidth="10" defaultColWidth="8.83203125" defaultRowHeight="15"/>
  <cols>
    <col width="42" customWidth="1" min="1" max="1"/>
    <col width="18" customWidth="1" min="2" max="2"/>
    <col width="22" customWidth="1" min="3" max="5"/>
  </cols>
  <sheetData>
    <row r="1" ht="19" customHeight="1">
      <c r="A1" s="10" t="inlineStr">
        <is>
          <t>Neues Investment First Closing — Aufschlüsselung (Seed @ 320 €)</t>
        </is>
      </c>
    </row>
    <row r="2">
      <c r="A2" s="12" t="inlineStr">
        <is>
          <t>Alle Seed-Investments zum First Closing. Blaue Werte = Eingabe; Anteile/Quote = Formel.</t>
        </is>
      </c>
    </row>
    <row r="4">
      <c r="A4" s="14" t="inlineStr">
        <is>
          <t>Seed-Preis/Anteil:</t>
        </is>
      </c>
      <c r="C4" s="37" t="n">
        <v>320</v>
      </c>
    </row>
    <row r="5">
      <c r="A5" s="14" t="inlineStr">
        <is>
          <t>Gesamt geplant:</t>
        </is>
      </c>
      <c r="C5" s="38">
        <f>'Cap Table'!F41</f>
        <v/>
      </c>
      <c r="D5" s="12" t="inlineStr">
        <is>
          <t>(Summe Spalte F der Haupttabelle)</t>
        </is>
      </c>
    </row>
    <row r="7" ht="32" customHeight="1">
      <c r="A7" s="39" t="inlineStr">
        <is>
          <t>Investor</t>
        </is>
      </c>
      <c r="B7" s="39" t="inlineStr">
        <is>
          <t>Seed-Investment (€)</t>
        </is>
      </c>
      <c r="C7" s="39" t="inlineStr">
        <is>
          <t># Anteile (÷ Seed-Preis)</t>
        </is>
      </c>
      <c r="D7" s="39" t="inlineStr">
        <is>
          <t>Anteil am First Closing %</t>
        </is>
      </c>
      <c r="E7" s="39" t="inlineStr">
        <is>
          <t>Anmerkung</t>
        </is>
      </c>
    </row>
    <row r="8">
      <c r="A8" s="14" t="inlineStr">
        <is>
          <t>ARNO GmbH</t>
        </is>
      </c>
      <c r="B8" s="37" t="n">
        <v>500000</v>
      </c>
      <c r="C8" s="40">
        <f>IF(ISNUMBER(B8),ROUND(B8/$C$4,0),0)</f>
        <v/>
      </c>
      <c r="D8" s="58">
        <f>IFERROR(B8/$C$5,0)</f>
        <v/>
      </c>
      <c r="E8" s="14" t="inlineStr">
        <is>
          <t>komplett neu</t>
        </is>
      </c>
    </row>
    <row r="9">
      <c r="A9" s="42" t="inlineStr">
        <is>
          <t>Baltic Business Angels Invest GmbH</t>
        </is>
      </c>
      <c r="B9" s="1" t="n">
        <v>200000</v>
      </c>
      <c r="C9" s="40">
        <f>IF(ISNUMBER(B9),ROUND(B9/$C$4,0),0)</f>
        <v/>
      </c>
      <c r="D9" s="58">
        <f>IFERROR(B9/$C$5,0)</f>
        <v/>
      </c>
      <c r="E9" t="inlineStr">
        <is>
          <t>CLA-Wandler legt nach; inkl. Lars Johann (investiert über BBA)</t>
        </is>
      </c>
    </row>
    <row r="10">
      <c r="A10" s="42" t="inlineStr">
        <is>
          <t>Luxembourg Business Angel Network (LBAN)</t>
        </is>
      </c>
      <c r="B10" s="1" t="n">
        <v>50000</v>
      </c>
      <c r="C10" s="40">
        <f>IF(ISNUMBER(B10),ROUND(B10/$C$4,0),0)</f>
        <v/>
      </c>
      <c r="D10" s="58">
        <f>IFERROR(B10/$C$5,0)</f>
        <v/>
      </c>
      <c r="E10" t="inlineStr">
        <is>
          <t>komplett neu</t>
        </is>
      </c>
    </row>
    <row r="11">
      <c r="A11" s="42" t="inlineStr">
        <is>
          <t>GCI Ground Capital GmbH (Martin Groschke)</t>
        </is>
      </c>
      <c r="B11" s="1" t="n">
        <v>25000</v>
      </c>
      <c r="C11" s="40">
        <f>IF(ISNUMBER(B11),ROUND(B11/$C$4,0),0)</f>
        <v/>
      </c>
      <c r="D11" s="58">
        <f>IFERROR(B11/$C$5,0)</f>
        <v/>
      </c>
      <c r="E11" t="inlineStr">
        <is>
          <t>CLA-Wandler legt nach</t>
        </is>
      </c>
    </row>
    <row r="12">
      <c r="A12" s="42" t="inlineStr">
        <is>
          <t>Marc Zöller</t>
        </is>
      </c>
      <c r="B12" s="1" t="n">
        <v>10000</v>
      </c>
      <c r="C12" s="40">
        <f>IF(ISNUMBER(B12),ROUND(B12/$C$4,0),0)</f>
        <v/>
      </c>
      <c r="D12" s="58">
        <f>IFERROR(B12/$C$5,0)</f>
        <v/>
      </c>
      <c r="E12" t="inlineStr">
        <is>
          <t>CLA-Wandler legt nach</t>
        </is>
      </c>
    </row>
    <row r="13">
      <c r="A13" s="42" t="inlineStr">
        <is>
          <t>[Weitere / Pool — offen]</t>
        </is>
      </c>
      <c r="B13" s="1" t="n"/>
      <c r="C13" s="40">
        <f>IF(ISNUMBER(B13),ROUND(B13/$C$4,0),0)</f>
        <v/>
      </c>
      <c r="D13" s="58">
        <f>IFERROR(B13/$C$5,0)</f>
        <v/>
      </c>
    </row>
    <row r="14">
      <c r="A14" s="42" t="n"/>
      <c r="B14" s="1" t="n"/>
      <c r="C14" s="40">
        <f>IF(ISNUMBER(B14),ROUND(B14/$C$4,0),0)</f>
        <v/>
      </c>
      <c r="D14" s="58">
        <f>IFERROR(B14/$C$5,0)</f>
        <v/>
      </c>
    </row>
    <row r="15">
      <c r="A15" s="42" t="n"/>
      <c r="B15" s="1" t="n"/>
      <c r="C15" s="40">
        <f>IF(ISNUMBER(B15),ROUND(B15/$C$4,0),0)</f>
        <v/>
      </c>
      <c r="D15" s="58">
        <f>IFERROR(B15/$C$5,0)</f>
        <v/>
      </c>
    </row>
    <row r="16">
      <c r="A16" s="43" t="inlineStr">
        <is>
          <t>SUMME</t>
        </is>
      </c>
      <c r="B16" s="44">
        <f>SUM(B8:B15)</f>
        <v/>
      </c>
      <c r="C16" s="45">
        <f>SUM(C8:C15)</f>
        <v/>
      </c>
    </row>
    <row r="18">
      <c r="A18" s="14" t="inlineStr">
        <is>
          <t>Validierung:</t>
        </is>
      </c>
      <c r="B18" s="43">
        <f>IF(B16=C5,"✓ passt","Differenz: "&amp;TEXT(C5-B16,"#,##0")&amp;" €")</f>
        <v/>
      </c>
    </row>
  </sheetData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40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 ht="19" customHeight="1">
      <c r="A1" s="10" t="inlineStr">
        <is>
          <t>Anleitung &amp; Methodik</t>
        </is>
      </c>
    </row>
    <row r="3">
      <c r="A3" t="inlineStr">
        <is>
          <t>Cap Table MUVN Mobility GmbH — Stand nach First Closing Seed (13.07.2026). Struktur nach Heuking-Muster.</t>
        </is>
      </c>
    </row>
    <row r="4">
      <c r="A4" t="inlineStr">
        <is>
          <t>Blaue Werte = Eingabe (Pre-Money, Preise, Investments). Übrige Zellen sind Formeln.</t>
        </is>
      </c>
    </row>
    <row r="6">
      <c r="A6" s="36" t="inlineStr">
        <is>
          <t>PREISE (Term Sheet, fix):</t>
        </is>
      </c>
    </row>
    <row r="7">
      <c r="A7" t="inlineStr">
        <is>
          <t xml:space="preserve">  Seed-Investoren (Arno + neue): 320,00 € je Geschäftsanteil (F8).</t>
        </is>
      </c>
    </row>
    <row r="8">
      <c r="A8" t="inlineStr">
        <is>
          <t xml:space="preserve">  CLA-Wandler: effektiv 240,00 € (F11 = MIN aus Cap-Preis 240 und Discount-Preis 304 → Cap gewinnt).</t>
        </is>
      </c>
    </row>
    <row r="10">
      <c r="A10" s="36" t="inlineStr">
        <is>
          <t>SPALTEN-LOGIK (Heuking):</t>
        </is>
      </c>
    </row>
    <row r="11">
      <c r="A11" t="inlineStr">
        <is>
          <t xml:space="preserve">  E Wandlungsbeträge = Principal + Zinsen (aus Detail-Block unten).</t>
        </is>
      </c>
    </row>
    <row r="12">
      <c r="A12" t="inlineStr">
        <is>
          <t xml:space="preserve">  J # Wandlungs-Anteile = Wandlungsbetrag / (240 − 1 € Nennbetrag) = / 239.</t>
        </is>
      </c>
    </row>
    <row r="13">
      <c r="A13" t="inlineStr">
        <is>
          <t xml:space="preserve">  K # Seed-Anteile = geplantes Investment / 320.</t>
        </is>
      </c>
    </row>
    <row r="14">
      <c r="A14" t="inlineStr">
        <is>
          <t xml:space="preserve">  L Geschäftsanteile = Bestand + Wandlungs- + Seed-Anteile.</t>
        </is>
      </c>
    </row>
    <row r="15">
      <c r="A15" t="inlineStr">
        <is>
          <t xml:space="preserve">  M/N virtuelle Anteile = VSOP-Pool I: bestehender 10%-Pool (fully diluted) auf Pre-Seed-Basis.</t>
        </is>
      </c>
    </row>
    <row r="16">
      <c r="A16" t="inlineStr">
        <is>
          <t xml:space="preserve">  P Beteiligung nicht verwässert = L / Gesamt-L. Q voll verwässert = O / Gesamt-O (inkl. VSOP).</t>
        </is>
      </c>
    </row>
    <row r="18">
      <c r="A18" s="36" t="inlineStr">
        <is>
          <t>RUNDUNG (wichtig):</t>
        </is>
      </c>
    </row>
    <row r="19">
      <c r="A19" t="inlineStr">
        <is>
          <t xml:space="preserve">  Anteile werden auf ganze Zahlen gerundet (Excel ROUND). Dadurch weicht das TATSÄCHLICHE</t>
        </is>
      </c>
    </row>
    <row r="20">
      <c r="A20" t="inlineStr">
        <is>
          <t xml:space="preserve">  Investment (Spalte G = Anteile × Preis) minimal vom GEPLANTEN (Spalte F) ab.</t>
        </is>
      </c>
    </row>
    <row r="21">
      <c r="A21" t="inlineStr">
        <is>
          <t xml:space="preserve">  Bsp. Arno: 500.000 € geplant → 1.563 Anteile → 500.160 € tatsächlich.</t>
        </is>
      </c>
    </row>
    <row r="22">
      <c r="A22" t="inlineStr">
        <is>
          <t xml:space="preserve">  Die finale Anteilszahl / ein etwaiger Spitzenausgleich wird im Notartermin festgelegt.</t>
        </is>
      </c>
    </row>
    <row r="24">
      <c r="A24" s="36" t="inlineStr">
        <is>
          <t>CLA-POOL (Bank-verifiziert):</t>
        </is>
      </c>
    </row>
    <row r="25">
      <c r="A25" t="inlineStr">
        <is>
          <t xml:space="preserve">  905.100 € Principal (aus Kontoauszügen 06/2024–03/2026, 24 Eingänge minus Feyler 30k).</t>
        </is>
      </c>
    </row>
    <row r="26">
      <c r="A26" t="inlineStr">
        <is>
          <t xml:space="preserve">  + 41.645 € Zinsen (30E/360 bis 13.07.2026; Satz pro Vertrag: 3× 1% Tranche-1, sonst 5%).</t>
        </is>
      </c>
    </row>
    <row r="27">
      <c r="A27" t="inlineStr">
        <is>
          <t xml:space="preserve">  = 946.745 € Wandlungsbetrag → 3.961 Geschäftsanteile. Detail im Block unter der Haupttabelle.</t>
        </is>
      </c>
    </row>
    <row r="28">
      <c r="A28" t="inlineStr">
        <is>
          <t xml:space="preserve">  Heimatboost = 7 interne Geber, einzeln gelistet. Christine Prauschke: nie investiert (nicht im Pool).</t>
        </is>
      </c>
    </row>
    <row r="30">
      <c r="A30" s="36" t="inlineStr">
        <is>
          <t>INVESTOREN FIRST CLOSING (neues Geld @ 320 €):</t>
        </is>
      </c>
    </row>
    <row r="31">
      <c r="A31" t="inlineStr">
        <is>
          <t xml:space="preserve">  Arno 500k (neu) | BBA 200k (CLA-Wandler legt nach, inkl. Lars Johann via BBA) | LBAN 50k (neu)</t>
        </is>
      </c>
    </row>
    <row r="32">
      <c r="A32" t="inlineStr">
        <is>
          <t xml:space="preserve">  | Groschke 25k + Zöller 10k (CLA-Wandler legen nach) = 785.000 € benannt.</t>
        </is>
      </c>
    </row>
    <row r="33">
      <c r="A33" t="inlineStr">
        <is>
          <t xml:space="preserve">  Pool-Zeile (F39) für weitere Investoren — aktuell 0, editierbar. Alle 18 CLA-Geber wandeln.</t>
        </is>
      </c>
    </row>
    <row r="35">
      <c r="A35" s="36" t="inlineStr">
        <is>
          <t>OFFENE PUNKTE:</t>
        </is>
      </c>
    </row>
    <row r="36">
      <c r="A36" t="inlineStr">
        <is>
          <t xml:space="preserve">  - Pool-Zeile (F39): Zielvolumen offen. Dirk van Velsen investiert nicht frisch (nur CLA-Wandlung 150k via Optima).</t>
        </is>
      </c>
    </row>
    <row r="37">
      <c r="A37" t="inlineStr">
        <is>
          <t xml:space="preserve">  - VSOP II: im finalen Term Sheet (signiert 24./25.06.2026) nicht enthalten, nicht Teil dieser Runde.</t>
        </is>
      </c>
    </row>
    <row r="38">
      <c r="A38" t="inlineStr">
        <is>
          <t xml:space="preserve">  - Serie-A-Block: bewusst weggelassen (für First Closing nicht relevant; bei Bedarf ergänzbar).</t>
        </is>
      </c>
    </row>
    <row r="39">
      <c r="A39" t="inlineStr">
        <is>
          <t xml:space="preserve">  - VSOP I: 10%-Pool besteht bereits (pre-Seed, fully diluted = 3.218 Anteile); wird wie alle Pre-Seed-Halter durch das Seed-Cash mitverwässert auf 9,29% post-Seed. Auslegung mit Heuking bestätigen.</t>
        </is>
      </c>
    </row>
    <row r="40">
      <c r="A40" t="inlineStr">
        <is>
          <t>Rückfragen: massimo@muvn.de</t>
        </is>
      </c>
    </row>
  </sheetData>
  <pageMargins left="0.75" right="0.75" top="1" bottom="1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2026-06-24T11:30:21Z</dcterms:created>
  <dcterms:modified xmlns:dcterms="http://purl.org/dc/terms/" xmlns:xsi="http://www.w3.org/2001/XMLSchema-instance" xsi:type="dcterms:W3CDTF">2026-07-03T10:55:33Z</dcterms:modified>
  <cp:lastModifiedBy>Massimo Sabatino</cp:lastModifiedBy>
</cp:coreProperties>
</file>